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vaud-my.sharepoint.com/personal/pi11mws_eduvaud_ch/Documents/Documents/Obsidian Vault/Diplôme/dossier finale travail de diplôme/archive annexes/planification/"/>
    </mc:Choice>
  </mc:AlternateContent>
  <xr:revisionPtr revIDLastSave="455" documentId="13_ncr:1_{EDC051C4-9A1E-4E2D-8F43-8C514157D3AE}" xr6:coauthVersionLast="47" xr6:coauthVersionMax="47" xr10:uidLastSave="{6115EF3A-00FA-481E-8662-49D3055E79EA}"/>
  <bookViews>
    <workbookView xWindow="28680" yWindow="-120" windowWidth="29040" windowHeight="15720" activeTab="1" xr2:uid="{82FCF275-8522-428A-8299-FE516CA6C369}"/>
  </bookViews>
  <sheets>
    <sheet name="dashboard" sheetId="2" r:id="rId1"/>
    <sheet name="to do" sheetId="3" r:id="rId2"/>
  </sheets>
  <definedNames>
    <definedName name="_xlnm._FilterDatabase" localSheetId="0" hidden="1">dashboard!$B$2:$G$9</definedName>
    <definedName name="_xlnm._FilterDatabase" localSheetId="1" hidden="1">'to do'!$A$1:$G$71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5" i="3" l="1"/>
  <c r="E15" i="2"/>
  <c r="E16" i="2"/>
  <c r="E17" i="2"/>
  <c r="E18" i="2"/>
  <c r="E14" i="2"/>
  <c r="D15" i="2"/>
  <c r="D16" i="2"/>
  <c r="D17" i="2"/>
  <c r="D18" i="2"/>
  <c r="D14" i="2"/>
  <c r="E4" i="2"/>
  <c r="E5" i="2"/>
  <c r="E6" i="2"/>
  <c r="E7" i="2"/>
  <c r="E8" i="2"/>
  <c r="E9" i="2"/>
  <c r="E10" i="2"/>
  <c r="E3" i="2"/>
  <c r="D4" i="2"/>
  <c r="D5" i="2"/>
  <c r="D6" i="2"/>
  <c r="D7" i="2"/>
  <c r="D8" i="2"/>
  <c r="D9" i="2"/>
  <c r="D10" i="2"/>
  <c r="D3" i="2"/>
  <c r="C14" i="2"/>
  <c r="G10" i="2"/>
  <c r="C10" i="2"/>
  <c r="C18" i="2"/>
  <c r="G18" i="2"/>
  <c r="G15" i="2"/>
  <c r="G16" i="2"/>
  <c r="G17" i="2"/>
  <c r="G14" i="2"/>
  <c r="C17" i="2"/>
  <c r="C16" i="2"/>
  <c r="C15" i="2"/>
  <c r="G6" i="2"/>
  <c r="G8" i="2"/>
  <c r="G9" i="2"/>
  <c r="G7" i="2"/>
  <c r="C4" i="2"/>
  <c r="C5" i="2"/>
  <c r="C6" i="2"/>
  <c r="C8" i="2"/>
  <c r="C9" i="2"/>
  <c r="C7" i="2"/>
  <c r="C3" i="2"/>
  <c r="I2" i="2"/>
  <c r="G3" i="2"/>
  <c r="G4" i="2"/>
  <c r="G5" i="2"/>
  <c r="D11" i="2" l="1"/>
  <c r="E19" i="2"/>
  <c r="E11" i="2"/>
  <c r="D19" i="2"/>
</calcChain>
</file>

<file path=xl/sharedStrings.xml><?xml version="1.0" encoding="utf-8"?>
<sst xmlns="http://schemas.openxmlformats.org/spreadsheetml/2006/main" count="133" uniqueCount="73">
  <si>
    <t>achèvement</t>
  </si>
  <si>
    <t>Temps réel</t>
  </si>
  <si>
    <t>Temps estimé</t>
  </si>
  <si>
    <t>deadline</t>
  </si>
  <si>
    <t>ecart date</t>
  </si>
  <si>
    <t>description tâche</t>
  </si>
  <si>
    <t>sprint</t>
  </si>
  <si>
    <t xml:space="preserve">Temps estimé </t>
  </si>
  <si>
    <t>commentaire</t>
  </si>
  <si>
    <t>done</t>
  </si>
  <si>
    <t>description sous-tâche</t>
  </si>
  <si>
    <t>Environnement de travail mis en place</t>
  </si>
  <si>
    <t>Documentaition initiale</t>
  </si>
  <si>
    <t>Gestion des comptes utilisateur (par rôle)</t>
  </si>
  <si>
    <t>fonctionnalités livraison</t>
  </si>
  <si>
    <t>fonctionnalités commande</t>
  </si>
  <si>
    <t>déploiement en préproduction</t>
  </si>
  <si>
    <t>description tâches</t>
  </si>
  <si>
    <t>mettre en place le github</t>
  </si>
  <si>
    <t>configurer et remplir le journal de travail</t>
  </si>
  <si>
    <t>Réunion au sujet de la donnée du travail de diplôme</t>
  </si>
  <si>
    <t>Démarrer officialement le projet avec la mandante</t>
  </si>
  <si>
    <t>planification</t>
  </si>
  <si>
    <t>débuter le rapport de diplôme</t>
  </si>
  <si>
    <t xml:space="preserve">faire la page front de d'authentification simple </t>
  </si>
  <si>
    <t xml:space="preserve">faire la partie back d'authentification simple </t>
  </si>
  <si>
    <t>Authentification / inscription</t>
  </si>
  <si>
    <t xml:space="preserve">faire la page front de l'enregistrement simple </t>
  </si>
  <si>
    <t xml:space="preserve">faire la partie back de l'enregistrement simple </t>
  </si>
  <si>
    <t>faire la page d'accueil initial</t>
  </si>
  <si>
    <t xml:space="preserve">Ecrire le template de la definition of done </t>
  </si>
  <si>
    <t>conception maquette</t>
  </si>
  <si>
    <t xml:space="preserve">conception du diagramme de uses cases </t>
  </si>
  <si>
    <t xml:space="preserve">conception du MCD compte utilisateur </t>
  </si>
  <si>
    <t>conception du diagramme de classe</t>
  </si>
  <si>
    <t>conception du diagramme de micro-service</t>
  </si>
  <si>
    <t>faire les différent dashboard de rôle</t>
  </si>
  <si>
    <t>total</t>
  </si>
  <si>
    <t xml:space="preserve">faire la liste des plats front </t>
  </si>
  <si>
    <t xml:space="preserve">faire la liste des plats back </t>
  </si>
  <si>
    <t xml:space="preserve">faire la liste des restaurant back  </t>
  </si>
  <si>
    <t xml:space="preserve">faire la liste des restaurant front  </t>
  </si>
  <si>
    <t xml:space="preserve">documenter la fonctionnalité commande dans le rapport </t>
  </si>
  <si>
    <t>faire la partie gestion du compte front (CRUD) (clients)</t>
  </si>
  <si>
    <t>faire la partie gestion du compte back (CRUD) (clients)</t>
  </si>
  <si>
    <t>faire la partie gestion du compte front (CRUD) (restaurant partenaire)</t>
  </si>
  <si>
    <t>faire la partie gestion du compte back (CRUD) (restaurant partenaire)</t>
  </si>
  <si>
    <t>faire la partie gestion du compte front (CRUD) (modérateur)</t>
  </si>
  <si>
    <t>faire la partie gestion du compte back (CRUD) (modérateur)</t>
  </si>
  <si>
    <t>faire la partie gestion du compte back (CRUD) (administrateur)</t>
  </si>
  <si>
    <t>faire la partie gestion du compte front (CRUD) (administrateur)</t>
  </si>
  <si>
    <t>Sprints</t>
  </si>
  <si>
    <t>fin du sprint</t>
  </si>
  <si>
    <t>mettre en place la base de donnée</t>
  </si>
  <si>
    <t>mettre en place le reverse proxy</t>
  </si>
  <si>
    <t>mettre en place la dockerisation</t>
  </si>
  <si>
    <t>tester que docker fonctionne correctement</t>
  </si>
  <si>
    <t>Faire le diagranne de séquence correspondant  au processus de commande</t>
  </si>
  <si>
    <t>Faire le diagranne de séquence correspondant  au processus de livraison</t>
  </si>
  <si>
    <t>Faire les maquette corresponde à la fonctionnalité livraison</t>
  </si>
  <si>
    <t>Faire les maquette corresponde à la fonctionnalité commande</t>
  </si>
  <si>
    <t>gestion de l'acceptation d'une commande par un livreur back</t>
  </si>
  <si>
    <t>gestion de l'acceptation d'une commande par un livreur front</t>
  </si>
  <si>
    <t>gestion de la localisation front</t>
  </si>
  <si>
    <t>gestion de la localisation back</t>
  </si>
  <si>
    <t>faire la fonctionnalité payement front</t>
  </si>
  <si>
    <t>faire la fonctionnalité payement back</t>
  </si>
  <si>
    <t>rapport</t>
  </si>
  <si>
    <t>gestion de la partie restauration pour la livraison front</t>
  </si>
  <si>
    <t>gestion de la partie restauration pour la livraison back</t>
  </si>
  <si>
    <t>lire les consigne cahier des charges et écouter à la séance d'information</t>
  </si>
  <si>
    <t>faire la partie gestion du compte front (CRUD) (livreur)</t>
  </si>
  <si>
    <t>faire la partie gestion du compte back (CRUD) (livreur)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</si>
</sst>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1" xfId="0" applyBorder="1"/>
    <xf numFmtId="0" fontId="2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1" xfId="1" applyNumberFormat="1" applyFon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9" fontId="0" fillId="0" borderId="1" xfId="1" applyFont="1" applyBorder="1"/>
    <xf numFmtId="2" fontId="0" fillId="0" borderId="1" xfId="1" applyNumberFormat="1" applyFont="1" applyBorder="1"/>
    <xf numFmtId="2" fontId="0" fillId="0" borderId="0" xfId="0" applyNumberFormat="1"/>
    <xf numFmtId="9" fontId="0" fillId="0" borderId="3" xfId="1" applyFont="1" applyBorder="1"/>
    <xf numFmtId="14" fontId="0" fillId="0" borderId="3" xfId="1" applyNumberFormat="1" applyFont="1" applyFill="1" applyBorder="1"/>
    <xf numFmtId="0" fontId="0" fillId="2" borderId="4" xfId="0" applyFill="1" applyBorder="1" applyAlignment="1">
      <alignment wrapText="1"/>
    </xf>
    <xf numFmtId="0" fontId="0" fillId="2" borderId="5" xfId="0" applyFill="1" applyBorder="1"/>
    <xf numFmtId="2" fontId="0" fillId="2" borderId="5" xfId="0" applyNumberFormat="1" applyFill="1" applyBorder="1"/>
    <xf numFmtId="0" fontId="0" fillId="2" borderId="6" xfId="0" applyFill="1" applyBorder="1"/>
    <xf numFmtId="0" fontId="0" fillId="0" borderId="7" xfId="0" applyBorder="1" applyAlignment="1">
      <alignment wrapText="1"/>
    </xf>
    <xf numFmtId="0" fontId="0" fillId="0" borderId="8" xfId="1" applyNumberFormat="1" applyFont="1" applyFill="1" applyBorder="1"/>
    <xf numFmtId="0" fontId="0" fillId="0" borderId="9" xfId="0" applyBorder="1" applyAlignment="1">
      <alignment wrapText="1"/>
    </xf>
    <xf numFmtId="0" fontId="0" fillId="0" borderId="10" xfId="1" applyNumberFormat="1" applyFont="1" applyFill="1" applyBorder="1"/>
    <xf numFmtId="9" fontId="0" fillId="0" borderId="12" xfId="1" applyFont="1" applyBorder="1"/>
    <xf numFmtId="2" fontId="0" fillId="0" borderId="12" xfId="1" applyNumberFormat="1" applyFont="1" applyBorder="1"/>
    <xf numFmtId="14" fontId="0" fillId="0" borderId="12" xfId="1" applyNumberFormat="1" applyFont="1" applyFill="1" applyBorder="1"/>
    <xf numFmtId="0" fontId="0" fillId="0" borderId="13" xfId="1" applyNumberFormat="1" applyFont="1" applyFill="1" applyBorder="1"/>
    <xf numFmtId="0" fontId="2" fillId="0" borderId="4" xfId="0" applyFont="1" applyBorder="1"/>
    <xf numFmtId="9" fontId="2" fillId="0" borderId="5" xfId="1" applyFont="1" applyBorder="1"/>
    <xf numFmtId="9" fontId="2" fillId="0" borderId="6" xfId="1" applyFont="1" applyBorder="1"/>
    <xf numFmtId="0" fontId="0" fillId="0" borderId="11" xfId="0" applyBorder="1" applyAlignment="1">
      <alignment wrapText="1"/>
    </xf>
    <xf numFmtId="9" fontId="0" fillId="0" borderId="2" xfId="1" applyFont="1" applyBorder="1"/>
    <xf numFmtId="0" fontId="2" fillId="0" borderId="14" xfId="0" applyFont="1" applyBorder="1"/>
    <xf numFmtId="9" fontId="2" fillId="0" borderId="15" xfId="1" applyFont="1" applyBorder="1"/>
    <xf numFmtId="9" fontId="2" fillId="0" borderId="16" xfId="1" applyFont="1" applyBorder="1"/>
    <xf numFmtId="0" fontId="0" fillId="2" borderId="17" xfId="0" applyFill="1" applyBorder="1" applyAlignment="1">
      <alignment wrapText="1"/>
    </xf>
    <xf numFmtId="0" fontId="0" fillId="2" borderId="18" xfId="0" applyFill="1" applyBorder="1"/>
    <xf numFmtId="2" fontId="0" fillId="2" borderId="18" xfId="0" applyNumberFormat="1" applyFill="1" applyBorder="1"/>
    <xf numFmtId="0" fontId="0" fillId="2" borderId="19" xfId="0" applyFill="1" applyBorder="1"/>
    <xf numFmtId="0" fontId="0" fillId="0" borderId="7" xfId="0" applyBorder="1" applyAlignment="1">
      <alignment horizontal="left" wrapText="1"/>
    </xf>
    <xf numFmtId="0" fontId="0" fillId="0" borderId="7" xfId="0" applyBorder="1" applyAlignment="1">
      <alignment horizontal="left"/>
    </xf>
  </cellXfs>
  <cellStyles count="2">
    <cellStyle name="Normal" xfId="0" builtinId="0"/>
    <cellStyle name="Pourcentage" xfId="1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B6011-1975-4F59-9917-E41DFA55B94C}">
  <dimension ref="B1:I19"/>
  <sheetViews>
    <sheetView zoomScale="115" zoomScaleNormal="115" workbookViewId="0">
      <selection activeCell="C25" sqref="C25"/>
    </sheetView>
  </sheetViews>
  <sheetFormatPr baseColWidth="10" defaultColWidth="11.42578125" defaultRowHeight="15" x14ac:dyDescent="0.25"/>
  <cols>
    <col min="2" max="2" width="44.7109375" customWidth="1"/>
    <col min="3" max="3" width="14.85546875" bestFit="1" customWidth="1"/>
    <col min="4" max="7" width="14.85546875" customWidth="1"/>
  </cols>
  <sheetData>
    <row r="1" spans="2:9" ht="15.75" thickBot="1" x14ac:dyDescent="0.3"/>
    <row r="2" spans="2:9" ht="15.75" thickBot="1" x14ac:dyDescent="0.3">
      <c r="B2" s="23" t="s">
        <v>17</v>
      </c>
      <c r="C2" s="24" t="s">
        <v>0</v>
      </c>
      <c r="D2" s="24" t="s">
        <v>1</v>
      </c>
      <c r="E2" s="24" t="s">
        <v>2</v>
      </c>
      <c r="F2" s="24" t="s">
        <v>3</v>
      </c>
      <c r="G2" s="25" t="s">
        <v>4</v>
      </c>
      <c r="I2" s="27">
        <f>COUNTIF('to do'!$G$3:G$2024,TRUE)/(COUNTIF('to do'!$G$3:G$2024,TRUE)+COUNTIF('to do'!$G$3:G$2024,FALSE))</f>
        <v>0.15942028985507245</v>
      </c>
    </row>
    <row r="3" spans="2:9" x14ac:dyDescent="0.25">
      <c r="B3" s="26" t="s">
        <v>11</v>
      </c>
      <c r="C3" s="19">
        <f>COUNTIFS('to do'!$A$3:$A$524,B3,'to do'!$G$3:$G$524,TRUE)/COUNTIF('to do'!$A$3:$A$524,B3)</f>
        <v>1</v>
      </c>
      <c r="D3" s="20">
        <f>SUMIF('to do'!$A$2:$A$524,B3,'to do'!D$2:D$20045)</f>
        <v>4.25</v>
      </c>
      <c r="E3" s="20">
        <f>SUMIF('to do'!$A$2:$A$524,B3,'to do'!E$2:E$20045)</f>
        <v>4.25</v>
      </c>
      <c r="F3" s="21">
        <v>46255</v>
      </c>
      <c r="G3" s="22">
        <f t="shared" ref="G3:G10" ca="1" si="0">F3-TODAY()</f>
        <v>1</v>
      </c>
    </row>
    <row r="4" spans="2:9" x14ac:dyDescent="0.25">
      <c r="B4" s="15" t="s">
        <v>12</v>
      </c>
      <c r="C4" s="6">
        <f>COUNTIFS('to do'!$A$3:$A$524,B4,'to do'!$G$3:$G$524,TRUE)/COUNTIF('to do'!$A$3:$A$524,B4)</f>
        <v>1</v>
      </c>
      <c r="D4" s="20">
        <f>SUMIF('to do'!$A$2:$A$524,B4,'to do'!D$2:D$20045)</f>
        <v>8.25</v>
      </c>
      <c r="E4" s="20">
        <f>SUMIF('to do'!$A$2:$A$524,B4,'to do'!E$2:E$20045)</f>
        <v>8.25</v>
      </c>
      <c r="F4" s="3">
        <v>46255</v>
      </c>
      <c r="G4" s="16">
        <f t="shared" ca="1" si="0"/>
        <v>1</v>
      </c>
    </row>
    <row r="5" spans="2:9" x14ac:dyDescent="0.25">
      <c r="B5" s="15" t="s">
        <v>26</v>
      </c>
      <c r="C5" s="6">
        <f>COUNTIFS('to do'!$A$3:$A$524,B5,'to do'!$G$3:$G$524,TRUE)/COUNTIF('to do'!$A$3:$A$524,B5)</f>
        <v>0</v>
      </c>
      <c r="D5" s="20">
        <f>SUMIF('to do'!$A$2:$A$524,B5,'to do'!D$2:D$20045)</f>
        <v>0</v>
      </c>
      <c r="E5" s="20">
        <f>SUMIF('to do'!$A$2:$A$524,B5,'to do'!E$2:E$20045)</f>
        <v>10</v>
      </c>
      <c r="F5" s="3">
        <v>46255</v>
      </c>
      <c r="G5" s="16">
        <f t="shared" ca="1" si="0"/>
        <v>1</v>
      </c>
    </row>
    <row r="6" spans="2:9" x14ac:dyDescent="0.25">
      <c r="B6" s="15" t="s">
        <v>13</v>
      </c>
      <c r="C6" s="6">
        <f>COUNTIFS('to do'!$A$3:$A$524,B6,'to do'!$G$3:$G$524,TRUE)/COUNTIF('to do'!$A$3:$A$524,B6)</f>
        <v>0.21428571428571427</v>
      </c>
      <c r="D6" s="20">
        <f>SUMIF('to do'!$A$2:$A$524,B6,'to do'!D$2:D$20045)</f>
        <v>7.5</v>
      </c>
      <c r="E6" s="20">
        <f>SUMIF('to do'!$A$2:$A$524,B6,'to do'!E$2:E$20045)</f>
        <v>39.5</v>
      </c>
      <c r="F6" s="3">
        <v>46262</v>
      </c>
      <c r="G6" s="16">
        <f t="shared" ca="1" si="0"/>
        <v>8</v>
      </c>
    </row>
    <row r="7" spans="2:9" x14ac:dyDescent="0.25">
      <c r="B7" s="15" t="s">
        <v>16</v>
      </c>
      <c r="C7" s="6">
        <f>COUNTIFS('to do'!$A$3:$A$524,B7,'to do'!$G$3:$G$524,TRUE)/COUNTIF('to do'!$A$3:$A$524,B7)</f>
        <v>0</v>
      </c>
      <c r="D7" s="20">
        <f>SUMIF('to do'!$A$2:$A$524,B7,'to do'!D$2:D$20045)</f>
        <v>0</v>
      </c>
      <c r="E7" s="20">
        <f>SUMIF('to do'!$A$2:$A$524,B7,'to do'!E$2:E$20045)</f>
        <v>16</v>
      </c>
      <c r="F7" s="3">
        <v>46262</v>
      </c>
      <c r="G7" s="16">
        <f ca="1">F7-TODAY()</f>
        <v>8</v>
      </c>
    </row>
    <row r="8" spans="2:9" x14ac:dyDescent="0.25">
      <c r="B8" s="15" t="s">
        <v>15</v>
      </c>
      <c r="C8" s="6">
        <f>COUNTIFS('to do'!$A$3:$A$524,B8,'to do'!$G$3:$G$524,TRUE)/COUNTIF('to do'!$A$3:$A$524,B8)</f>
        <v>0</v>
      </c>
      <c r="D8" s="20">
        <f>SUMIF('to do'!$A$2:$A$524,B8,'to do'!D$2:D$20045)</f>
        <v>0</v>
      </c>
      <c r="E8" s="20">
        <f>SUMIF('to do'!$A$2:$A$524,B8,'to do'!E$2:E$20045)</f>
        <v>32</v>
      </c>
      <c r="F8" s="3">
        <v>46276</v>
      </c>
      <c r="G8" s="16">
        <f t="shared" ca="1" si="0"/>
        <v>22</v>
      </c>
      <c r="H8" s="8"/>
    </row>
    <row r="9" spans="2:9" x14ac:dyDescent="0.25">
      <c r="B9" s="17" t="s">
        <v>14</v>
      </c>
      <c r="C9" s="6">
        <f>COUNTIFS('to do'!$A$3:$A$524,B9,'to do'!$G$3:$G$524,TRUE)/COUNTIF('to do'!$A$3:$A$524,B9)</f>
        <v>0</v>
      </c>
      <c r="D9" s="20">
        <f>SUMIF('to do'!$A$2:$A$524,B9,'to do'!D$2:D$20045)</f>
        <v>0</v>
      </c>
      <c r="E9" s="20">
        <f>SUMIF('to do'!$A$2:$A$524,B9,'to do'!E$2:E$20045)</f>
        <v>32</v>
      </c>
      <c r="F9" s="3">
        <v>46283</v>
      </c>
      <c r="G9" s="16">
        <f t="shared" ca="1" si="0"/>
        <v>29</v>
      </c>
    </row>
    <row r="10" spans="2:9" ht="15.75" thickBot="1" x14ac:dyDescent="0.3">
      <c r="B10" s="17" t="s">
        <v>67</v>
      </c>
      <c r="C10" s="9">
        <f>COUNTIFS('to do'!$A$3:$A$524,B10,'to do'!$G$3:$G$524,TRUE)/COUNTIF('to do'!$A$3:$A$524,B10)</f>
        <v>0</v>
      </c>
      <c r="D10" s="20">
        <f>SUMIF('to do'!$A$2:$A$524,B10,'to do'!D$2:D$20045)</f>
        <v>2</v>
      </c>
      <c r="E10" s="20">
        <f>SUMIF('to do'!$A$2:$A$524,B10,'to do'!E$2:E$20045)</f>
        <v>28</v>
      </c>
      <c r="F10" s="10">
        <v>46283</v>
      </c>
      <c r="G10" s="18">
        <f t="shared" ca="1" si="0"/>
        <v>29</v>
      </c>
    </row>
    <row r="11" spans="2:9" ht="15.75" thickBot="1" x14ac:dyDescent="0.3">
      <c r="B11" s="11" t="s">
        <v>37</v>
      </c>
      <c r="C11" s="12"/>
      <c r="D11" s="13">
        <f>SUM(D3:D10)</f>
        <v>22</v>
      </c>
      <c r="E11" s="13">
        <f>SUM(E3:E10)</f>
        <v>170</v>
      </c>
      <c r="F11" s="12"/>
      <c r="G11" s="14"/>
    </row>
    <row r="12" spans="2:9" ht="15.75" thickBot="1" x14ac:dyDescent="0.3"/>
    <row r="13" spans="2:9" x14ac:dyDescent="0.25">
      <c r="B13" s="28" t="s">
        <v>51</v>
      </c>
      <c r="C13" s="29" t="s">
        <v>0</v>
      </c>
      <c r="D13" s="29" t="s">
        <v>1</v>
      </c>
      <c r="E13" s="29" t="s">
        <v>2</v>
      </c>
      <c r="F13" s="29" t="s">
        <v>52</v>
      </c>
      <c r="G13" s="30" t="s">
        <v>4</v>
      </c>
    </row>
    <row r="14" spans="2:9" x14ac:dyDescent="0.25">
      <c r="B14" s="35">
        <v>0</v>
      </c>
      <c r="C14" s="6">
        <f>COUNTIFS('to do'!$C$3:$C$524,B14,'to do'!$G$3:$G$524,TRUE)/COUNTIF('to do'!$C$3:$C$524,B14)</f>
        <v>0.6470588235294118</v>
      </c>
      <c r="D14" s="7">
        <f>SUMIF('to do'!$C$2:$C$524,B14,'to do'!D$2:D$20045)</f>
        <v>22</v>
      </c>
      <c r="E14" s="7">
        <f>SUMIF('to do'!$C$2:$C$524,B14,'to do'!E$2:E$20045)</f>
        <v>34</v>
      </c>
      <c r="F14" s="3">
        <v>46255</v>
      </c>
      <c r="G14" s="16">
        <f t="shared" ref="G14:G18" ca="1" si="1">F14-TODAY()</f>
        <v>1</v>
      </c>
    </row>
    <row r="15" spans="2:9" x14ac:dyDescent="0.25">
      <c r="B15" s="36">
        <v>1</v>
      </c>
      <c r="C15" s="6">
        <f>COUNTIFS('to do'!$C$3:$C$524,B15,'to do'!$G$3:$G$524,TRUE)/COUNTIF('to do'!$C$3:$C$524,B15)</f>
        <v>0</v>
      </c>
      <c r="D15" s="7">
        <f>SUMIF('to do'!$C$2:$C$524,B15,'to do'!D$2:D$20045)</f>
        <v>0</v>
      </c>
      <c r="E15" s="7">
        <f>SUMIF('to do'!$C$2:$C$524,B15,'to do'!E$2:E$20045)</f>
        <v>36</v>
      </c>
      <c r="F15" s="3">
        <v>46262</v>
      </c>
      <c r="G15" s="16">
        <f t="shared" ca="1" si="1"/>
        <v>8</v>
      </c>
    </row>
    <row r="16" spans="2:9" x14ac:dyDescent="0.25">
      <c r="B16" s="36">
        <v>2</v>
      </c>
      <c r="C16" s="6">
        <f>COUNTIFS('to do'!$C$3:$C$524,B16,'to do'!$G$3:$G$524,TRUE)/COUNTIF('to do'!$C$3:$C$524,B16)</f>
        <v>0</v>
      </c>
      <c r="D16" s="7">
        <f>SUMIF('to do'!$C$2:$C$524,B16,'to do'!D$2:D$20045)</f>
        <v>0</v>
      </c>
      <c r="E16" s="7">
        <f>SUMIF('to do'!$C$2:$C$524,B16,'to do'!E$2:E$20045)</f>
        <v>34</v>
      </c>
      <c r="F16" s="3">
        <v>46269</v>
      </c>
      <c r="G16" s="16">
        <f t="shared" ca="1" si="1"/>
        <v>15</v>
      </c>
    </row>
    <row r="17" spans="2:7" x14ac:dyDescent="0.25">
      <c r="B17" s="36">
        <v>3</v>
      </c>
      <c r="C17" s="6">
        <f>COUNTIFS('to do'!$C$3:$C$524,B17,'to do'!$G$3:$G$524,TRUE)/COUNTIF('to do'!$C$3:$C$524,B17)</f>
        <v>0</v>
      </c>
      <c r="D17" s="7">
        <f>SUMIF('to do'!$C$2:$C$524,B17,'to do'!D$2:D$20045)</f>
        <v>0</v>
      </c>
      <c r="E17" s="7">
        <f>SUMIF('to do'!$C$2:$C$524,B17,'to do'!E$2:E$20045)</f>
        <v>34</v>
      </c>
      <c r="F17" s="3">
        <v>46276</v>
      </c>
      <c r="G17" s="16">
        <f t="shared" ca="1" si="1"/>
        <v>22</v>
      </c>
    </row>
    <row r="18" spans="2:7" x14ac:dyDescent="0.25">
      <c r="B18" s="36">
        <v>4</v>
      </c>
      <c r="C18" s="6">
        <f>COUNTIFS('to do'!$C$3:$C$524,B18,'to do'!$G$3:$G$524,TRUE)/COUNTIF('to do'!$C$3:$C$524,B18)</f>
        <v>0</v>
      </c>
      <c r="D18" s="7">
        <f>SUMIF('to do'!$C$2:$C$524,B18,'to do'!D$2:D$20045)</f>
        <v>0</v>
      </c>
      <c r="E18" s="7">
        <f>SUMIF('to do'!$C$2:$C$524,B18,'to do'!E$2:E$20045)</f>
        <v>32</v>
      </c>
      <c r="F18" s="3">
        <v>46283</v>
      </c>
      <c r="G18" s="16">
        <f t="shared" ca="1" si="1"/>
        <v>29</v>
      </c>
    </row>
    <row r="19" spans="2:7" ht="15.75" thickBot="1" x14ac:dyDescent="0.3">
      <c r="B19" s="31" t="s">
        <v>37</v>
      </c>
      <c r="C19" s="32"/>
      <c r="D19" s="33">
        <f>SUM(D12:D18)</f>
        <v>22</v>
      </c>
      <c r="E19" s="33">
        <f>SUM(E14:E18)</f>
        <v>170</v>
      </c>
      <c r="F19" s="32"/>
      <c r="G19" s="34"/>
    </row>
  </sheetData>
  <autoFilter ref="B2:G11" xr:uid="{595B6011-1975-4F59-9917-E41DFA55B94C}"/>
  <conditionalFormatting sqref="C3:C10">
    <cfRule type="dataBar" priority="2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{DEC67B60-DF11-4B68-904A-46E7D5E9D9F6}</x14:id>
        </ext>
      </extLst>
    </cfRule>
  </conditionalFormatting>
  <conditionalFormatting sqref="G3:G10">
    <cfRule type="cellIs" dxfId="5" priority="8" operator="lessThan">
      <formula>10</formula>
    </cfRule>
    <cfRule type="cellIs" dxfId="4" priority="9" operator="between">
      <formula>10</formula>
      <formula>19</formula>
    </cfRule>
    <cfRule type="cellIs" dxfId="3" priority="10" operator="greaterThan">
      <formula>20</formula>
    </cfRule>
  </conditionalFormatting>
  <conditionalFormatting sqref="G14:G18">
    <cfRule type="cellIs" dxfId="2" priority="1" operator="lessThan">
      <formula>10</formula>
    </cfRule>
    <cfRule type="cellIs" dxfId="1" priority="2" operator="between">
      <formula>10</formula>
      <formula>19</formula>
    </cfRule>
    <cfRule type="cellIs" dxfId="0" priority="3" operator="greaterThan">
      <formula>20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C67B60-DF11-4B68-904A-46E7D5E9D9F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C3:C10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20D0-7813-4B7C-85BE-27293B2A524B}">
  <sheetPr filterMode="1"/>
  <dimension ref="A1:G75"/>
  <sheetViews>
    <sheetView tabSelected="1" zoomScale="115" zoomScaleNormal="115" workbookViewId="0">
      <selection activeCell="B79" sqref="B79"/>
    </sheetView>
  </sheetViews>
  <sheetFormatPr baseColWidth="10" defaultColWidth="11.42578125" defaultRowHeight="15" x14ac:dyDescent="0.25"/>
  <cols>
    <col min="1" max="1" width="38.28515625" customWidth="1"/>
    <col min="2" max="2" width="72.85546875" style="5" customWidth="1"/>
    <col min="3" max="3" width="21.5703125" style="5" customWidth="1"/>
    <col min="4" max="5" width="16.5703125" style="5" customWidth="1"/>
    <col min="6" max="6" width="31.5703125" customWidth="1"/>
  </cols>
  <sheetData>
    <row r="1" spans="1:7" x14ac:dyDescent="0.25">
      <c r="A1" s="4" t="s">
        <v>5</v>
      </c>
      <c r="B1" s="4" t="s">
        <v>10</v>
      </c>
      <c r="C1" s="4" t="s">
        <v>6</v>
      </c>
      <c r="D1" s="4" t="s">
        <v>1</v>
      </c>
      <c r="E1" s="4" t="s">
        <v>7</v>
      </c>
      <c r="F1" s="1" t="s">
        <v>8</v>
      </c>
      <c r="G1" s="1" t="s">
        <v>9</v>
      </c>
    </row>
    <row r="2" spans="1:7" hidden="1" x14ac:dyDescent="0.25">
      <c r="A2" s="4" t="s">
        <v>11</v>
      </c>
      <c r="B2" s="4" t="s">
        <v>70</v>
      </c>
      <c r="C2" s="4">
        <v>0</v>
      </c>
      <c r="D2" s="4">
        <v>1.5</v>
      </c>
      <c r="E2" s="4">
        <v>1.5</v>
      </c>
      <c r="F2" s="1"/>
      <c r="G2" s="2" t="b">
        <v>1</v>
      </c>
    </row>
    <row r="3" spans="1:7" hidden="1" x14ac:dyDescent="0.25">
      <c r="A3" s="4" t="s">
        <v>11</v>
      </c>
      <c r="B3" s="4" t="s">
        <v>18</v>
      </c>
      <c r="C3" s="4">
        <v>0</v>
      </c>
      <c r="D3" s="4">
        <v>0.25</v>
      </c>
      <c r="E3" s="4">
        <v>0.25</v>
      </c>
      <c r="F3" s="1"/>
      <c r="G3" s="2" t="b">
        <v>1</v>
      </c>
    </row>
    <row r="4" spans="1:7" hidden="1" x14ac:dyDescent="0.25">
      <c r="A4" s="4" t="s">
        <v>12</v>
      </c>
      <c r="B4" s="4" t="s">
        <v>19</v>
      </c>
      <c r="C4" s="4">
        <v>0</v>
      </c>
      <c r="D4" s="4">
        <v>0.25</v>
      </c>
      <c r="E4" s="4">
        <v>0.25</v>
      </c>
      <c r="F4" s="1"/>
      <c r="G4" s="2" t="b">
        <v>1</v>
      </c>
    </row>
    <row r="5" spans="1:7" hidden="1" x14ac:dyDescent="0.25">
      <c r="A5" s="4" t="s">
        <v>11</v>
      </c>
      <c r="B5" s="4" t="s">
        <v>20</v>
      </c>
      <c r="C5" s="4">
        <v>0</v>
      </c>
      <c r="D5" s="4">
        <v>1.25</v>
      </c>
      <c r="E5" s="4">
        <v>1.25</v>
      </c>
      <c r="F5" s="1"/>
      <c r="G5" s="2" t="b">
        <v>1</v>
      </c>
    </row>
    <row r="6" spans="1:7" hidden="1" x14ac:dyDescent="0.25">
      <c r="A6" s="4" t="s">
        <v>11</v>
      </c>
      <c r="B6" s="4" t="s">
        <v>21</v>
      </c>
      <c r="C6" s="4">
        <v>0</v>
      </c>
      <c r="D6" s="4">
        <v>1.25</v>
      </c>
      <c r="E6" s="4">
        <v>1.25</v>
      </c>
      <c r="F6" s="1"/>
      <c r="G6" s="2" t="b">
        <v>1</v>
      </c>
    </row>
    <row r="7" spans="1:7" hidden="1" x14ac:dyDescent="0.25">
      <c r="A7" s="4" t="s">
        <v>12</v>
      </c>
      <c r="B7" s="4" t="s">
        <v>22</v>
      </c>
      <c r="C7" s="4">
        <v>0</v>
      </c>
      <c r="D7" s="4">
        <v>4</v>
      </c>
      <c r="E7" s="4">
        <v>2</v>
      </c>
      <c r="F7" s="1"/>
      <c r="G7" s="2" t="b">
        <v>1</v>
      </c>
    </row>
    <row r="8" spans="1:7" x14ac:dyDescent="0.25">
      <c r="A8" s="4" t="s">
        <v>67</v>
      </c>
      <c r="B8" s="4" t="s">
        <v>23</v>
      </c>
      <c r="C8" s="4">
        <v>0</v>
      </c>
      <c r="D8" s="4">
        <v>2</v>
      </c>
      <c r="E8" s="4">
        <v>4</v>
      </c>
      <c r="F8" s="1"/>
      <c r="G8" s="2" t="b">
        <v>0</v>
      </c>
    </row>
    <row r="9" spans="1:7" x14ac:dyDescent="0.25">
      <c r="A9" s="4" t="s">
        <v>26</v>
      </c>
      <c r="B9" s="4" t="s">
        <v>24</v>
      </c>
      <c r="C9" s="4">
        <v>0</v>
      </c>
      <c r="D9" s="4"/>
      <c r="E9" s="4">
        <v>2</v>
      </c>
      <c r="F9" s="1"/>
      <c r="G9" s="2" t="b">
        <v>0</v>
      </c>
    </row>
    <row r="10" spans="1:7" x14ac:dyDescent="0.25">
      <c r="A10" s="4" t="s">
        <v>26</v>
      </c>
      <c r="B10" s="4" t="s">
        <v>25</v>
      </c>
      <c r="C10" s="4">
        <v>0</v>
      </c>
      <c r="D10" s="4"/>
      <c r="E10" s="4">
        <v>2</v>
      </c>
      <c r="F10" s="1"/>
      <c r="G10" s="2" t="b">
        <v>0</v>
      </c>
    </row>
    <row r="11" spans="1:7" x14ac:dyDescent="0.25">
      <c r="A11" s="4" t="s">
        <v>26</v>
      </c>
      <c r="B11" s="4" t="s">
        <v>27</v>
      </c>
      <c r="C11" s="4">
        <v>0</v>
      </c>
      <c r="D11" s="4"/>
      <c r="E11" s="4">
        <v>2</v>
      </c>
      <c r="F11" s="1"/>
      <c r="G11" s="2" t="b">
        <v>0</v>
      </c>
    </row>
    <row r="12" spans="1:7" x14ac:dyDescent="0.25">
      <c r="A12" s="4" t="s">
        <v>26</v>
      </c>
      <c r="B12" s="4" t="s">
        <v>28</v>
      </c>
      <c r="C12" s="4">
        <v>0</v>
      </c>
      <c r="D12" s="4"/>
      <c r="E12" s="4">
        <v>2</v>
      </c>
      <c r="F12" s="1"/>
      <c r="G12" s="2" t="b">
        <v>0</v>
      </c>
    </row>
    <row r="13" spans="1:7" x14ac:dyDescent="0.25">
      <c r="A13" s="4" t="s">
        <v>26</v>
      </c>
      <c r="B13" s="4" t="s">
        <v>29</v>
      </c>
      <c r="C13" s="4">
        <v>0</v>
      </c>
      <c r="D13" s="4"/>
      <c r="E13" s="4">
        <v>2</v>
      </c>
      <c r="F13" s="1"/>
      <c r="G13" s="2" t="b">
        <v>0</v>
      </c>
    </row>
    <row r="14" spans="1:7" hidden="1" x14ac:dyDescent="0.25">
      <c r="A14" s="4" t="s">
        <v>12</v>
      </c>
      <c r="B14" s="4" t="s">
        <v>30</v>
      </c>
      <c r="C14" s="4">
        <v>0</v>
      </c>
      <c r="D14" s="4"/>
      <c r="E14" s="4">
        <v>2</v>
      </c>
      <c r="F14" s="1"/>
      <c r="G14" s="2" t="b">
        <v>1</v>
      </c>
    </row>
    <row r="15" spans="1:7" hidden="1" x14ac:dyDescent="0.25">
      <c r="A15" s="4" t="s">
        <v>13</v>
      </c>
      <c r="B15" s="4" t="s">
        <v>33</v>
      </c>
      <c r="C15" s="4">
        <v>0</v>
      </c>
      <c r="D15" s="4">
        <v>3</v>
      </c>
      <c r="E15" s="4">
        <v>2</v>
      </c>
      <c r="F15" s="1"/>
      <c r="G15" s="2" t="b">
        <v>1</v>
      </c>
    </row>
    <row r="16" spans="1:7" hidden="1" x14ac:dyDescent="0.25">
      <c r="A16" s="4" t="s">
        <v>13</v>
      </c>
      <c r="B16" s="4" t="s">
        <v>31</v>
      </c>
      <c r="C16" s="4">
        <v>0</v>
      </c>
      <c r="D16" s="4">
        <v>3.5</v>
      </c>
      <c r="E16" s="4">
        <v>3.5</v>
      </c>
      <c r="F16" s="1"/>
      <c r="G16" s="2" t="b">
        <v>1</v>
      </c>
    </row>
    <row r="17" spans="1:7" hidden="1" x14ac:dyDescent="0.25">
      <c r="A17" s="4" t="s">
        <v>13</v>
      </c>
      <c r="B17" s="4" t="s">
        <v>32</v>
      </c>
      <c r="C17" s="4">
        <v>0</v>
      </c>
      <c r="D17" s="4">
        <v>1</v>
      </c>
      <c r="E17" s="4">
        <v>2</v>
      </c>
      <c r="F17" s="1"/>
      <c r="G17" s="2" t="b">
        <v>1</v>
      </c>
    </row>
    <row r="18" spans="1:7" hidden="1" x14ac:dyDescent="0.25">
      <c r="A18" s="4" t="s">
        <v>12</v>
      </c>
      <c r="B18" s="4" t="s">
        <v>34</v>
      </c>
      <c r="C18" s="4">
        <v>0</v>
      </c>
      <c r="D18" s="4">
        <v>2</v>
      </c>
      <c r="E18" s="4">
        <v>2</v>
      </c>
      <c r="F18" s="1"/>
      <c r="G18" s="2" t="b">
        <v>1</v>
      </c>
    </row>
    <row r="19" spans="1:7" hidden="1" x14ac:dyDescent="0.25">
      <c r="A19" s="4" t="s">
        <v>12</v>
      </c>
      <c r="B19" s="4" t="s">
        <v>35</v>
      </c>
      <c r="C19" s="4">
        <v>0</v>
      </c>
      <c r="D19" s="4">
        <v>2</v>
      </c>
      <c r="E19" s="4">
        <v>2</v>
      </c>
      <c r="F19" s="1"/>
      <c r="G19" s="2" t="b">
        <v>1</v>
      </c>
    </row>
    <row r="20" spans="1:7" hidden="1" x14ac:dyDescent="0.25">
      <c r="A20" s="4" t="s">
        <v>13</v>
      </c>
      <c r="B20" s="4" t="s">
        <v>36</v>
      </c>
      <c r="C20" s="4">
        <v>1</v>
      </c>
      <c r="D20" s="4"/>
      <c r="E20" s="4">
        <v>2</v>
      </c>
      <c r="F20" s="1"/>
      <c r="G20" s="2" t="b">
        <v>0</v>
      </c>
    </row>
    <row r="21" spans="1:7" hidden="1" x14ac:dyDescent="0.25">
      <c r="A21" s="4" t="s">
        <v>13</v>
      </c>
      <c r="B21" s="4" t="s">
        <v>43</v>
      </c>
      <c r="C21" s="4">
        <v>1</v>
      </c>
      <c r="D21" s="4"/>
      <c r="E21" s="4">
        <v>2</v>
      </c>
      <c r="F21" s="1"/>
      <c r="G21" s="2" t="b">
        <v>0</v>
      </c>
    </row>
    <row r="22" spans="1:7" hidden="1" x14ac:dyDescent="0.25">
      <c r="A22" s="4" t="s">
        <v>13</v>
      </c>
      <c r="B22" s="4" t="s">
        <v>44</v>
      </c>
      <c r="C22" s="4">
        <v>1</v>
      </c>
      <c r="D22" s="4"/>
      <c r="E22" s="4">
        <v>4</v>
      </c>
      <c r="F22" s="1"/>
      <c r="G22" s="2" t="b">
        <v>0</v>
      </c>
    </row>
    <row r="23" spans="1:7" hidden="1" x14ac:dyDescent="0.25">
      <c r="A23" s="4" t="s">
        <v>13</v>
      </c>
      <c r="B23" s="4" t="s">
        <v>45</v>
      </c>
      <c r="C23" s="4">
        <v>1</v>
      </c>
      <c r="D23" s="4"/>
      <c r="E23" s="4">
        <v>2</v>
      </c>
      <c r="F23" s="1"/>
      <c r="G23" s="2" t="b">
        <v>0</v>
      </c>
    </row>
    <row r="24" spans="1:7" hidden="1" x14ac:dyDescent="0.25">
      <c r="A24" s="4" t="s">
        <v>13</v>
      </c>
      <c r="B24" s="4" t="s">
        <v>46</v>
      </c>
      <c r="C24" s="4">
        <v>1</v>
      </c>
      <c r="D24" s="4"/>
      <c r="E24" s="4">
        <v>4</v>
      </c>
      <c r="F24" s="1"/>
      <c r="G24" s="2" t="b">
        <v>0</v>
      </c>
    </row>
    <row r="25" spans="1:7" hidden="1" x14ac:dyDescent="0.25">
      <c r="A25" s="4" t="s">
        <v>13</v>
      </c>
      <c r="B25" s="4" t="s">
        <v>47</v>
      </c>
      <c r="C25" s="4">
        <v>1</v>
      </c>
      <c r="D25" s="4"/>
      <c r="E25" s="4">
        <v>2</v>
      </c>
      <c r="F25" s="1"/>
      <c r="G25" s="2" t="b">
        <v>0</v>
      </c>
    </row>
    <row r="26" spans="1:7" hidden="1" x14ac:dyDescent="0.25">
      <c r="A26" s="4" t="s">
        <v>13</v>
      </c>
      <c r="B26" s="4" t="s">
        <v>48</v>
      </c>
      <c r="C26" s="4">
        <v>1</v>
      </c>
      <c r="D26" s="4"/>
      <c r="E26" s="4">
        <v>4</v>
      </c>
      <c r="F26" s="1"/>
      <c r="G26" s="2" t="b">
        <v>0</v>
      </c>
    </row>
    <row r="27" spans="1:7" hidden="1" x14ac:dyDescent="0.25">
      <c r="A27" s="4" t="s">
        <v>13</v>
      </c>
      <c r="B27" s="4" t="s">
        <v>50</v>
      </c>
      <c r="C27" s="4">
        <v>1</v>
      </c>
      <c r="D27" s="4"/>
      <c r="E27" s="4">
        <v>2</v>
      </c>
      <c r="F27" s="1"/>
      <c r="G27" s="2" t="b">
        <v>0</v>
      </c>
    </row>
    <row r="28" spans="1:7" hidden="1" x14ac:dyDescent="0.25">
      <c r="A28" s="4" t="s">
        <v>13</v>
      </c>
      <c r="B28" s="4" t="s">
        <v>49</v>
      </c>
      <c r="C28" s="4">
        <v>1</v>
      </c>
      <c r="D28" s="4"/>
      <c r="E28" s="4">
        <v>4</v>
      </c>
      <c r="F28" s="1"/>
      <c r="G28" s="2" t="b">
        <v>0</v>
      </c>
    </row>
    <row r="29" spans="1:7" hidden="1" x14ac:dyDescent="0.25">
      <c r="A29" s="4" t="s">
        <v>13</v>
      </c>
      <c r="B29" s="4" t="s">
        <v>71</v>
      </c>
      <c r="C29" s="4">
        <v>1</v>
      </c>
      <c r="D29" s="4"/>
      <c r="E29" s="4">
        <v>2</v>
      </c>
      <c r="F29" s="1"/>
      <c r="G29" s="2" t="b">
        <v>0</v>
      </c>
    </row>
    <row r="30" spans="1:7" hidden="1" x14ac:dyDescent="0.25">
      <c r="A30" s="4" t="s">
        <v>13</v>
      </c>
      <c r="B30" s="4" t="s">
        <v>72</v>
      </c>
      <c r="C30" s="4">
        <v>1</v>
      </c>
      <c r="D30" s="4"/>
      <c r="E30" s="4">
        <v>4</v>
      </c>
      <c r="F30" s="1"/>
      <c r="G30" s="2" t="b">
        <v>0</v>
      </c>
    </row>
    <row r="31" spans="1:7" hidden="1" x14ac:dyDescent="0.25">
      <c r="A31" s="4" t="s">
        <v>16</v>
      </c>
      <c r="B31" s="4" t="s">
        <v>55</v>
      </c>
      <c r="C31" s="4">
        <v>1</v>
      </c>
      <c r="D31" s="4"/>
      <c r="E31" s="4">
        <v>4</v>
      </c>
      <c r="F31" s="1"/>
      <c r="G31" s="2" t="b">
        <v>0</v>
      </c>
    </row>
    <row r="32" spans="1:7" hidden="1" x14ac:dyDescent="0.25">
      <c r="A32" s="4" t="s">
        <v>16</v>
      </c>
      <c r="B32" s="4" t="s">
        <v>53</v>
      </c>
      <c r="C32" s="4">
        <v>2</v>
      </c>
      <c r="D32" s="4"/>
      <c r="E32" s="4">
        <v>4</v>
      </c>
      <c r="F32" s="1"/>
      <c r="G32" s="2" t="b">
        <v>0</v>
      </c>
    </row>
    <row r="33" spans="1:7" hidden="1" x14ac:dyDescent="0.25">
      <c r="A33" s="4" t="s">
        <v>16</v>
      </c>
      <c r="B33" s="4" t="s">
        <v>54</v>
      </c>
      <c r="C33" s="4">
        <v>2</v>
      </c>
      <c r="D33" s="4"/>
      <c r="E33" s="4">
        <v>4</v>
      </c>
      <c r="F33" s="1"/>
      <c r="G33" s="2" t="b">
        <v>0</v>
      </c>
    </row>
    <row r="34" spans="1:7" hidden="1" x14ac:dyDescent="0.25">
      <c r="A34" s="4" t="s">
        <v>16</v>
      </c>
      <c r="B34" s="4" t="s">
        <v>56</v>
      </c>
      <c r="C34" s="4">
        <v>2</v>
      </c>
      <c r="D34" s="4"/>
      <c r="E34" s="4">
        <v>4</v>
      </c>
      <c r="F34" s="1"/>
      <c r="G34" s="2" t="b">
        <v>0</v>
      </c>
    </row>
    <row r="35" spans="1:7" hidden="1" x14ac:dyDescent="0.25">
      <c r="A35" s="4" t="s">
        <v>15</v>
      </c>
      <c r="B35" s="4" t="s">
        <v>38</v>
      </c>
      <c r="C35" s="4">
        <v>3</v>
      </c>
      <c r="D35" s="4"/>
      <c r="E35" s="4">
        <v>2</v>
      </c>
      <c r="F35" s="1"/>
      <c r="G35" s="2" t="b">
        <v>0</v>
      </c>
    </row>
    <row r="36" spans="1:7" hidden="1" x14ac:dyDescent="0.25">
      <c r="A36" s="4" t="s">
        <v>15</v>
      </c>
      <c r="B36" s="4" t="s">
        <v>39</v>
      </c>
      <c r="C36" s="4">
        <v>2</v>
      </c>
      <c r="D36" s="4"/>
      <c r="E36" s="4">
        <v>4</v>
      </c>
      <c r="F36" s="1"/>
      <c r="G36" s="2" t="b">
        <v>0</v>
      </c>
    </row>
    <row r="37" spans="1:7" hidden="1" x14ac:dyDescent="0.25">
      <c r="A37" s="4" t="s">
        <v>15</v>
      </c>
      <c r="B37" s="4" t="s">
        <v>41</v>
      </c>
      <c r="C37" s="4">
        <v>2</v>
      </c>
      <c r="D37" s="4"/>
      <c r="E37" s="4">
        <v>2</v>
      </c>
      <c r="F37" s="1"/>
      <c r="G37" s="2" t="b">
        <v>0</v>
      </c>
    </row>
    <row r="38" spans="1:7" hidden="1" x14ac:dyDescent="0.25">
      <c r="A38" s="4" t="s">
        <v>15</v>
      </c>
      <c r="B38" s="4" t="s">
        <v>40</v>
      </c>
      <c r="C38" s="4">
        <v>2</v>
      </c>
      <c r="D38" s="4"/>
      <c r="E38" s="4">
        <v>4</v>
      </c>
      <c r="F38" s="1"/>
      <c r="G38" s="2" t="b">
        <v>0</v>
      </c>
    </row>
    <row r="39" spans="1:7" hidden="1" x14ac:dyDescent="0.25">
      <c r="A39" s="4" t="s">
        <v>15</v>
      </c>
      <c r="B39" s="4" t="s">
        <v>65</v>
      </c>
      <c r="C39" s="4">
        <v>3</v>
      </c>
      <c r="D39" s="4"/>
      <c r="E39" s="4">
        <v>8</v>
      </c>
      <c r="F39" s="1"/>
      <c r="G39" s="2" t="b">
        <v>0</v>
      </c>
    </row>
    <row r="40" spans="1:7" hidden="1" x14ac:dyDescent="0.25">
      <c r="A40" s="4" t="s">
        <v>15</v>
      </c>
      <c r="B40" s="4" t="s">
        <v>66</v>
      </c>
      <c r="C40" s="4">
        <v>3</v>
      </c>
      <c r="D40" s="4"/>
      <c r="E40" s="4">
        <v>8</v>
      </c>
      <c r="F40" s="1"/>
      <c r="G40" s="2" t="b">
        <v>0</v>
      </c>
    </row>
    <row r="41" spans="1:7" hidden="1" x14ac:dyDescent="0.25">
      <c r="A41" s="4" t="s">
        <v>67</v>
      </c>
      <c r="B41" s="4" t="s">
        <v>42</v>
      </c>
      <c r="C41" s="4">
        <v>2</v>
      </c>
      <c r="D41" s="4"/>
      <c r="E41" s="4">
        <v>8</v>
      </c>
      <c r="F41" s="1"/>
      <c r="G41" s="2" t="b">
        <v>0</v>
      </c>
    </row>
    <row r="42" spans="1:7" hidden="1" x14ac:dyDescent="0.25">
      <c r="A42" s="4" t="s">
        <v>67</v>
      </c>
      <c r="B42" s="4" t="s">
        <v>42</v>
      </c>
      <c r="C42" s="4">
        <v>3</v>
      </c>
      <c r="D42" s="4"/>
      <c r="E42" s="4">
        <v>8</v>
      </c>
      <c r="F42" s="1"/>
      <c r="G42" s="2" t="b">
        <v>0</v>
      </c>
    </row>
    <row r="43" spans="1:7" hidden="1" x14ac:dyDescent="0.25">
      <c r="A43" s="4" t="s">
        <v>15</v>
      </c>
      <c r="B43" s="4" t="s">
        <v>60</v>
      </c>
      <c r="C43" s="4">
        <v>2</v>
      </c>
      <c r="D43" s="4"/>
      <c r="E43" s="4">
        <v>2</v>
      </c>
      <c r="F43" s="1"/>
      <c r="G43" s="2" t="b">
        <v>0</v>
      </c>
    </row>
    <row r="44" spans="1:7" hidden="1" x14ac:dyDescent="0.25">
      <c r="A44" s="4" t="s">
        <v>15</v>
      </c>
      <c r="B44" s="4" t="s">
        <v>57</v>
      </c>
      <c r="C44" s="4">
        <v>2</v>
      </c>
      <c r="D44" s="4"/>
      <c r="E44" s="4">
        <v>2</v>
      </c>
      <c r="F44" s="1"/>
      <c r="G44" s="2" t="b">
        <v>0</v>
      </c>
    </row>
    <row r="45" spans="1:7" hidden="1" x14ac:dyDescent="0.25">
      <c r="A45" s="4" t="s">
        <v>14</v>
      </c>
      <c r="B45" s="4" t="s">
        <v>63</v>
      </c>
      <c r="C45" s="4">
        <v>4</v>
      </c>
      <c r="D45" s="4"/>
      <c r="E45" s="4">
        <v>8</v>
      </c>
      <c r="F45" s="1"/>
      <c r="G45" s="2" t="b">
        <v>0</v>
      </c>
    </row>
    <row r="46" spans="1:7" hidden="1" x14ac:dyDescent="0.25">
      <c r="A46" s="4" t="s">
        <v>14</v>
      </c>
      <c r="B46" s="4" t="s">
        <v>64</v>
      </c>
      <c r="C46" s="4">
        <v>4</v>
      </c>
      <c r="D46" s="4"/>
      <c r="E46" s="4">
        <v>8</v>
      </c>
      <c r="F46" s="1"/>
      <c r="G46" s="2" t="b">
        <v>0</v>
      </c>
    </row>
    <row r="47" spans="1:7" hidden="1" x14ac:dyDescent="0.25">
      <c r="A47" s="4" t="s">
        <v>14</v>
      </c>
      <c r="B47" s="4" t="s">
        <v>61</v>
      </c>
      <c r="C47" s="4">
        <v>4</v>
      </c>
      <c r="D47" s="4"/>
      <c r="E47" s="4">
        <v>4</v>
      </c>
      <c r="F47" s="1"/>
      <c r="G47" s="2" t="b">
        <v>0</v>
      </c>
    </row>
    <row r="48" spans="1:7" hidden="1" x14ac:dyDescent="0.25">
      <c r="A48" s="4" t="s">
        <v>14</v>
      </c>
      <c r="B48" s="4" t="s">
        <v>62</v>
      </c>
      <c r="C48" s="4">
        <v>4</v>
      </c>
      <c r="D48" s="4"/>
      <c r="E48" s="4">
        <v>2</v>
      </c>
      <c r="F48" s="1"/>
      <c r="G48" s="2" t="b">
        <v>0</v>
      </c>
    </row>
    <row r="49" spans="1:7" hidden="1" x14ac:dyDescent="0.25">
      <c r="A49" s="4" t="s">
        <v>14</v>
      </c>
      <c r="B49" s="4" t="s">
        <v>68</v>
      </c>
      <c r="C49" s="4">
        <v>4</v>
      </c>
      <c r="D49" s="4"/>
      <c r="E49" s="4">
        <v>2</v>
      </c>
      <c r="F49" s="1"/>
      <c r="G49" s="2" t="b">
        <v>0</v>
      </c>
    </row>
    <row r="50" spans="1:7" hidden="1" x14ac:dyDescent="0.25">
      <c r="A50" s="4" t="s">
        <v>14</v>
      </c>
      <c r="B50" s="4" t="s">
        <v>69</v>
      </c>
      <c r="C50" s="4">
        <v>3</v>
      </c>
      <c r="D50" s="4"/>
      <c r="E50" s="4">
        <v>4</v>
      </c>
      <c r="F50" s="1"/>
      <c r="G50" s="2" t="b">
        <v>0</v>
      </c>
    </row>
    <row r="51" spans="1:7" hidden="1" x14ac:dyDescent="0.25">
      <c r="A51" s="4" t="s">
        <v>67</v>
      </c>
      <c r="B51" s="4" t="s">
        <v>42</v>
      </c>
      <c r="C51" s="4">
        <v>4</v>
      </c>
      <c r="D51" s="4"/>
      <c r="E51" s="4">
        <v>8</v>
      </c>
      <c r="F51" s="1"/>
      <c r="G51" s="2" t="b">
        <v>0</v>
      </c>
    </row>
    <row r="52" spans="1:7" hidden="1" x14ac:dyDescent="0.25">
      <c r="A52" s="4" t="s">
        <v>14</v>
      </c>
      <c r="B52" s="4" t="s">
        <v>59</v>
      </c>
      <c r="C52" s="4">
        <v>3</v>
      </c>
      <c r="D52" s="4"/>
      <c r="E52" s="4">
        <v>2</v>
      </c>
      <c r="F52" s="1"/>
      <c r="G52" s="2" t="b">
        <v>0</v>
      </c>
    </row>
    <row r="53" spans="1:7" hidden="1" x14ac:dyDescent="0.25">
      <c r="A53" s="4" t="s">
        <v>14</v>
      </c>
      <c r="B53" s="4" t="s">
        <v>58</v>
      </c>
      <c r="C53" s="4">
        <v>3</v>
      </c>
      <c r="D53" s="4"/>
      <c r="E53" s="4">
        <v>2</v>
      </c>
      <c r="F53" s="1"/>
      <c r="G53" s="2" t="b">
        <v>0</v>
      </c>
    </row>
    <row r="54" spans="1:7" hidden="1" x14ac:dyDescent="0.25">
      <c r="A54" s="4"/>
      <c r="B54" s="4"/>
      <c r="C54" s="4"/>
      <c r="D54" s="4"/>
      <c r="E54" s="4"/>
      <c r="F54" s="1"/>
      <c r="G54" s="2" t="b">
        <v>0</v>
      </c>
    </row>
    <row r="55" spans="1:7" hidden="1" x14ac:dyDescent="0.25">
      <c r="A55" s="4"/>
      <c r="B55" s="4"/>
      <c r="C55" s="4"/>
      <c r="D55" s="4"/>
      <c r="E55" s="4"/>
      <c r="F55" s="1"/>
      <c r="G55" s="2" t="b">
        <v>0</v>
      </c>
    </row>
    <row r="56" spans="1:7" hidden="1" x14ac:dyDescent="0.25">
      <c r="A56" s="4"/>
      <c r="B56" s="4"/>
      <c r="C56" s="4"/>
      <c r="D56" s="4"/>
      <c r="E56" s="4"/>
      <c r="F56" s="1"/>
      <c r="G56" s="2" t="b">
        <v>0</v>
      </c>
    </row>
    <row r="57" spans="1:7" hidden="1" x14ac:dyDescent="0.25">
      <c r="A57" s="4"/>
      <c r="B57" s="4"/>
      <c r="C57" s="4"/>
      <c r="D57" s="4"/>
      <c r="E57" s="4"/>
      <c r="F57" s="1"/>
      <c r="G57" s="2" t="b">
        <v>0</v>
      </c>
    </row>
    <row r="58" spans="1:7" hidden="1" x14ac:dyDescent="0.25">
      <c r="A58" s="4"/>
      <c r="B58" s="4"/>
      <c r="C58" s="4"/>
      <c r="D58" s="4"/>
      <c r="E58" s="4"/>
      <c r="F58" s="1"/>
      <c r="G58" s="2" t="b">
        <v>0</v>
      </c>
    </row>
    <row r="59" spans="1:7" hidden="1" x14ac:dyDescent="0.25">
      <c r="A59" s="4"/>
      <c r="B59" s="4"/>
      <c r="C59" s="4"/>
      <c r="D59" s="4"/>
      <c r="E59" s="4"/>
      <c r="F59" s="1"/>
      <c r="G59" s="2" t="b">
        <v>0</v>
      </c>
    </row>
    <row r="60" spans="1:7" hidden="1" x14ac:dyDescent="0.25">
      <c r="A60" s="4"/>
      <c r="B60" s="4"/>
      <c r="C60" s="4"/>
      <c r="D60" s="4"/>
      <c r="E60" s="4"/>
      <c r="F60" s="1"/>
      <c r="G60" s="2" t="b">
        <v>0</v>
      </c>
    </row>
    <row r="61" spans="1:7" hidden="1" x14ac:dyDescent="0.25">
      <c r="A61" s="4"/>
      <c r="B61" s="4"/>
      <c r="C61" s="4"/>
      <c r="D61" s="4"/>
      <c r="E61" s="4"/>
      <c r="F61" s="1"/>
      <c r="G61" s="2" t="b">
        <v>0</v>
      </c>
    </row>
    <row r="62" spans="1:7" hidden="1" x14ac:dyDescent="0.25">
      <c r="A62" s="4"/>
      <c r="B62" s="4"/>
      <c r="C62" s="4"/>
      <c r="D62" s="4"/>
      <c r="E62" s="4"/>
      <c r="F62" s="1"/>
      <c r="G62" s="2" t="b">
        <v>0</v>
      </c>
    </row>
    <row r="63" spans="1:7" hidden="1" x14ac:dyDescent="0.25">
      <c r="A63" s="4"/>
      <c r="B63" s="4"/>
      <c r="C63" s="4"/>
      <c r="D63" s="4"/>
      <c r="E63" s="4"/>
      <c r="F63" s="1"/>
      <c r="G63" s="2" t="b">
        <v>0</v>
      </c>
    </row>
    <row r="64" spans="1:7" hidden="1" x14ac:dyDescent="0.25">
      <c r="A64" s="4"/>
      <c r="B64" s="4"/>
      <c r="C64" s="4"/>
      <c r="D64" s="4"/>
      <c r="E64" s="4"/>
      <c r="F64" s="1"/>
      <c r="G64" s="2" t="b">
        <v>0</v>
      </c>
    </row>
    <row r="65" spans="1:7" hidden="1" x14ac:dyDescent="0.25">
      <c r="A65" s="4"/>
      <c r="B65" s="4"/>
      <c r="C65" s="4"/>
      <c r="D65" s="4"/>
      <c r="E65" s="4"/>
      <c r="F65" s="4"/>
      <c r="G65" s="2" t="b">
        <v>0</v>
      </c>
    </row>
    <row r="66" spans="1:7" hidden="1" x14ac:dyDescent="0.25">
      <c r="A66" s="4"/>
      <c r="B66" s="4"/>
      <c r="C66" s="4"/>
      <c r="D66" s="4"/>
      <c r="E66" s="4"/>
      <c r="F66" s="1"/>
      <c r="G66" s="2" t="b">
        <v>0</v>
      </c>
    </row>
    <row r="67" spans="1:7" hidden="1" x14ac:dyDescent="0.25">
      <c r="A67" s="4"/>
      <c r="B67" s="4"/>
      <c r="C67" s="4"/>
      <c r="D67" s="4"/>
      <c r="E67" s="4"/>
      <c r="F67" s="1"/>
      <c r="G67" s="2" t="b">
        <v>0</v>
      </c>
    </row>
    <row r="68" spans="1:7" hidden="1" x14ac:dyDescent="0.25">
      <c r="A68" s="4"/>
      <c r="B68" s="4"/>
      <c r="C68" s="4"/>
      <c r="D68" s="4"/>
      <c r="E68" s="4"/>
      <c r="F68" s="1"/>
      <c r="G68" s="2" t="b">
        <v>0</v>
      </c>
    </row>
    <row r="69" spans="1:7" hidden="1" x14ac:dyDescent="0.25">
      <c r="A69" s="4"/>
      <c r="B69" s="4"/>
      <c r="C69" s="4"/>
      <c r="D69" s="4"/>
      <c r="E69" s="4"/>
      <c r="F69" s="1"/>
      <c r="G69" s="2" t="b">
        <v>0</v>
      </c>
    </row>
    <row r="70" spans="1:7" hidden="1" x14ac:dyDescent="0.25">
      <c r="A70" s="4"/>
      <c r="B70" s="4"/>
      <c r="C70" s="4"/>
      <c r="D70" s="4"/>
      <c r="E70" s="4"/>
      <c r="F70" s="1"/>
      <c r="G70" s="2" t="b">
        <v>0</v>
      </c>
    </row>
    <row r="71" spans="1:7" hidden="1" x14ac:dyDescent="0.25">
      <c r="A71" s="4"/>
      <c r="B71" s="4"/>
      <c r="C71" s="4"/>
      <c r="D71" s="4"/>
      <c r="E71" s="4"/>
      <c r="F71" s="1"/>
      <c r="G71" s="2" t="b">
        <v>0</v>
      </c>
    </row>
    <row r="75" spans="1:7" x14ac:dyDescent="0.25">
      <c r="E75" s="5">
        <f>SUBTOTAL(9,E9:E19)</f>
        <v>10</v>
      </c>
    </row>
  </sheetData>
  <autoFilter ref="A1:G71" xr:uid="{515B20D0-7813-4B7C-85BE-27293B2A524B}">
    <filterColumn colId="2">
      <filters>
        <filter val="0"/>
      </filters>
    </filterColumn>
    <filterColumn colId="6">
      <filters>
        <filter val="FAUX"/>
      </filters>
    </filterColumn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E7560AE-EA2B-4491-93C0-B49AA25A8457}">
          <x14:formula1>
            <xm:f>dashboard!$B$3:$B$9</xm:f>
          </x14:formula1>
          <xm:sqref>A2:A7 A52:A53 A43:A50 A9:A40</xm:sqref>
        </x14:dataValidation>
        <x14:dataValidation type="list" allowBlank="1" showInputMessage="1" showErrorMessage="1" xr:uid="{E11CFFA5-4840-4999-8AA4-19C490454A05}">
          <x14:formula1>
            <xm:f>dashboard!$B$3:$B$10</xm:f>
          </x14:formula1>
          <xm:sqref>A8 A51 A41:A42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dashboard</vt:lpstr>
      <vt:lpstr>to 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Elodie Dépierraz</dc:creator>
  <cp:keywords/>
  <dc:description/>
  <cp:lastModifiedBy>Elodie Dépierraz</cp:lastModifiedBy>
  <cp:revision/>
  <dcterms:created xsi:type="dcterms:W3CDTF">2026-05-06T06:33:33Z</dcterms:created>
  <dcterms:modified xsi:type="dcterms:W3CDTF">2026-08-20T11:44:27Z</dcterms:modified>
  <cp:category/>
  <cp:contentStatus/>
</cp:coreProperties>
</file>